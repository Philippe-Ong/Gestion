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cbf0556e688d176/VScode/Gestion/"/>
    </mc:Choice>
  </mc:AlternateContent>
  <xr:revisionPtr revIDLastSave="1" documentId="8_{3DAFF786-19DC-46E3-9842-2A4D9660460B}" xr6:coauthVersionLast="47" xr6:coauthVersionMax="47" xr10:uidLastSave="{0934A997-E35F-4BFA-9FB3-9F485C805EC8}"/>
  <bookViews>
    <workbookView xWindow="-120" yWindow="-120" windowWidth="51840" windowHeight="21120" xr2:uid="{C5804516-DE8A-4579-A9F8-8DDE14F0BC4E}"/>
  </bookViews>
  <sheets>
    <sheet name="Bulletin de livrais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E51" i="1" l="1"/>
  <c r="B33" i="1"/>
  <c r="B34" i="1"/>
  <c r="B35" i="1"/>
  <c r="B30" i="1" l="1"/>
  <c r="B31" i="1"/>
  <c r="B32" i="1"/>
  <c r="A54" i="1"/>
  <c r="B44" i="1"/>
  <c r="B27" i="1" l="1"/>
  <c r="B28" i="1"/>
  <c r="B29" i="1"/>
  <c r="B15" i="1"/>
  <c r="B16" i="1"/>
  <c r="B17" i="1"/>
  <c r="B18" i="1"/>
  <c r="B19" i="1"/>
  <c r="B20" i="1"/>
  <c r="B21" i="1"/>
  <c r="B22" i="1"/>
  <c r="B23" i="1"/>
  <c r="B24" i="1"/>
  <c r="B25" i="1"/>
  <c r="B26" i="1"/>
  <c r="B36" i="1"/>
  <c r="B37" i="1"/>
  <c r="B3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<sst xmlns="http://schemas.openxmlformats.org/spreadsheetml/2006/main" count="61" uniqueCount="30">
  <si>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</si>
  <si>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</si>
  <si>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</si>
  <si>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</si>
  <si>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</si>
  <si>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</si>
  <si>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</si>
  <si>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</si>
  <si>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</si>
  <si>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</si>
  <si>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</si>
  <si>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</si>
  <si>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</si>
  <si>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25 cl</t>
  </si>
  <si>
    <t>50 cl</t>
  </si>
  <si>
    <t>100 cl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</si>
  <si>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</si>
  <si>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</si>
  <si>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</si>
  <si>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</si>
  <si>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ThéCol - Thé Froid Artisanal</t>
  </si>
  <si>
    <t>Sureau</t>
  </si>
  <si>
    <t>Autre</t>
  </si>
  <si>
    <t>Autre :</t>
  </si>
  <si>
    <t>Dégustation Su.</t>
  </si>
  <si>
    <t xml:space="preserve">par E-mail  </t>
  </si>
  <si>
    <t>par poste (+ 1CHF)</t>
  </si>
  <si>
    <t xml:space="preserve">À </t>
  </si>
  <si>
    <t>Coing</t>
  </si>
  <si>
    <t>Facturation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</si>
</sst>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5" dataDxfId="4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3"/>
    <tableColumn id="2" xr3:uid="{38558BE9-82AC-43AB-A07D-B067A83EA99E}" name="Description" dataDxfId="2">
      <calculatedColumnFormula>IF(Tableau1[[#This Row],[QTT]]&lt;&gt;0,"ThéCol - Thé Froid Artisanal"," ")</calculatedColumnFormula>
    </tableColumn>
    <tableColumn id="3" xr3:uid="{8422D6DD-456B-478D-A22C-DE624EDE619C}" name="Arôme" dataDxfId="1"/>
    <tableColumn id="4" xr3:uid="{975D51B1-3BEB-45A8-9486-4C2BEDCCBA24}" name="Forma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C3373-AE42-4256-BB11-C40A43E6AE39}">
  <dimension ref="A2:F61"/>
  <sheetViews>
    <sheetView tabSelected="1" zoomScale="130" zoomScaleNormal="130" workbookViewId="0">
      <selection activeCell="G14" sqref="G14"/>
    </sheetView>
  </sheetViews>
  <sheetFormatPr baseColWidth="10" defaultRowHeight="15"/>
  <cols>
    <col min="1" max="1" width="6.5703125" customWidth="1"/>
    <col min="2" max="2" width="23.7109375" customWidth="1"/>
    <col min="3" max="3" width="15" customWidth="1"/>
    <col min="4" max="4" width="5.7109375" customWidth="1"/>
    <col min="5" max="5" width="11.28515625" customWidth="1"/>
    <col min="6" max="6" width="16.85546875" customWidth="1"/>
  </cols>
  <sheetData>
    <row r="2" spans="1:6" ht="22.5" customHeight="1">
      <c r="F2" s="7"/>
    </row>
    <row r="3" spans="1:6">
      <c r="F3" s="2"/>
    </row>
    <row r="4" spans="1:6">
      <c r="E4" s="18"/>
      <c r="F4" s="4"/>
    </row>
    <row r="5" spans="1:6">
      <c r="E5" s="18" t="s">
        <v>1</v>
      </c>
      <c r="F5" s="4">
        <f ca="1">TODAY()</f>
        <v>46108</v>
      </c>
    </row>
    <row r="6" spans="1:6" ht="16.5">
      <c r="A6" s="1" t="s">
        <v>0</v>
      </c>
      <c r="B6" s="1"/>
      <c r="E6" s="5"/>
      <c r="F6" s="5"/>
    </row>
    <row r="7" spans="1:6">
      <c r="E7" s="18"/>
      <c r="F7" s="3"/>
    </row>
    <row r="8" spans="1:6">
      <c r="E8" s="3"/>
      <c r="F8" s="3"/>
    </row>
    <row r="9" spans="1:6">
      <c r="E9" s="5"/>
      <c r="F9" s="3"/>
    </row>
    <row r="10" spans="1:6">
      <c r="E10" s="5"/>
      <c r="F10" s="3"/>
    </row>
    <row r="12" spans="1:6" ht="7.5" customHeight="1"/>
    <row r="14" spans="1:6">
      <c r="A14" s="5" t="s">
        <v>3</v>
      </c>
      <c r="B14" s="5" t="s">
        <v>4</v>
      </c>
      <c r="C14" s="23" t="s">
        <v>6</v>
      </c>
      <c r="D14" s="23" t="s">
        <v>5</v>
      </c>
    </row>
    <row r="15" spans="1:6" hidden="1">
      <c r="A15" s="24">
        <v>0</v>
      </c>
      <c r="B15" s="19" t="str">
        <f>IF(Tableau1[[#This Row],[QTT]]&lt;&gt;0,"ThéCol - Thé Froid Artisanal"," ")</f>
        <v xml:space="preserve"> </v>
      </c>
      <c r="C15" s="20" t="s">
        <v>7</v>
      </c>
      <c r="D15" s="21" t="s">
        <v>13</v>
      </c>
    </row>
    <row r="16" spans="1:6" hidden="1">
      <c r="A16" s="25">
        <v>0</v>
      </c>
      <c r="B16" s="8" t="str">
        <f>IF(Tableau1[[#This Row],[QTT]]&lt;&gt;0,"ThéCol - Thé Froid Artisanal"," ")</f>
        <v xml:space="preserve"> </v>
      </c>
      <c r="C16" s="14" t="s">
        <v>7</v>
      </c>
      <c r="D16" s="12" t="s">
        <v>14</v>
      </c>
    </row>
    <row r="17" spans="1:4">
      <c r="A17" s="25"/>
      <c r="B17" s="8" t="str">
        <f>IF(Tableau1[[#This Row],[QTT]]&lt;&gt;0,"ThéCol - Thé Froid Artisanal"," ")</f>
        <v xml:space="preserve"> </v>
      </c>
      <c r="C17" s="14"/>
      <c r="D17" s="12"/>
    </row>
    <row r="18" spans="1:4" hidden="1">
      <c r="A18" s="25">
        <v>0</v>
      </c>
      <c r="B18" s="8" t="str">
        <f>IF(Tableau1[[#This Row],[QTT]]&lt;&gt;0,"ThéCol - Thé Froid Artisanal"," ")</f>
        <v xml:space="preserve"> </v>
      </c>
      <c r="C18" s="14" t="s">
        <v>10</v>
      </c>
      <c r="D18" s="12" t="s">
        <v>13</v>
      </c>
    </row>
    <row r="19" spans="1:4" hidden="1">
      <c r="A19" s="25">
        <v>0</v>
      </c>
      <c r="B19" s="8" t="str">
        <f>IF(Tableau1[[#This Row],[QTT]]&lt;&gt;0,"ThéCol - Thé Froid Artisanal"," ")</f>
        <v xml:space="preserve"> </v>
      </c>
      <c r="C19" s="14" t="s">
        <v>10</v>
      </c>
      <c r="D19" s="12" t="s">
        <v>14</v>
      </c>
    </row>
    <row r="20" spans="1:4" hidden="1">
      <c r="A20" s="25">
        <v>0</v>
      </c>
      <c r="B20" s="8" t="str">
        <f>IF(Tableau1[[#This Row],[QTT]]&lt;&gt;0,"ThéCol - Thé Froid Artisanal"," ")</f>
        <v xml:space="preserve"> </v>
      </c>
      <c r="C20" s="14" t="s">
        <v>10</v>
      </c>
      <c r="D20" s="12" t="s">
        <v>15</v>
      </c>
    </row>
    <row r="21" spans="1:4" hidden="1">
      <c r="A21" s="25">
        <v>0</v>
      </c>
      <c r="B21" s="8" t="str">
        <f>IF(Tableau1[[#This Row],[QTT]]&lt;&gt;0,"ThéCol - Thé Froid Artisanal"," ")</f>
        <v xml:space="preserve"> </v>
      </c>
      <c r="C21" s="14" t="s">
        <v>8</v>
      </c>
      <c r="D21" s="12" t="s">
        <v>13</v>
      </c>
    </row>
    <row r="22" spans="1:4" hidden="1">
      <c r="A22" s="25">
        <v>0</v>
      </c>
      <c r="B22" s="8" t="str">
        <f>IF(Tableau1[[#This Row],[QTT]]&lt;&gt;0,"ThéCol - Thé Froid Artisanal"," ")</f>
        <v xml:space="preserve"> </v>
      </c>
      <c r="C22" s="14" t="s">
        <v>8</v>
      </c>
      <c r="D22" s="12" t="s">
        <v>14</v>
      </c>
    </row>
    <row r="23" spans="1:4" hidden="1">
      <c r="A23" s="25">
        <v>0</v>
      </c>
      <c r="B23" s="8" t="str">
        <f>IF(Tableau1[[#This Row],[QTT]]&lt;&gt;0,"ThéCol - Thé Froid Artisanal"," ")</f>
        <v xml:space="preserve"> </v>
      </c>
      <c r="C23" s="14" t="s">
        <v>8</v>
      </c>
      <c r="D23" s="12" t="s">
        <v>15</v>
      </c>
    </row>
    <row r="24" spans="1:4" hidden="1">
      <c r="A24" s="25">
        <v>0</v>
      </c>
      <c r="B24" s="8" t="str">
        <f>IF(Tableau1[[#This Row],[QTT]]&lt;&gt;0,"ThéCol - Thé Froid Artisanal"," ")</f>
        <v xml:space="preserve"> </v>
      </c>
      <c r="C24" s="14" t="s">
        <v>9</v>
      </c>
      <c r="D24" s="12" t="s">
        <v>13</v>
      </c>
    </row>
    <row r="25" spans="1:4" hidden="1">
      <c r="A25" s="25">
        <v>0</v>
      </c>
      <c r="B25" s="8" t="str">
        <f>IF(Tableau1[[#This Row],[QTT]]&lt;&gt;0,"ThéCol - Thé Froid Artisanal"," ")</f>
        <v xml:space="preserve"> </v>
      </c>
      <c r="C25" s="14" t="s">
        <v>9</v>
      </c>
      <c r="D25" s="12" t="s">
        <v>14</v>
      </c>
    </row>
    <row r="26" spans="1:4" hidden="1">
      <c r="A26" s="25">
        <v>0</v>
      </c>
      <c r="B26" s="8" t="str">
        <f>IF(Tableau1[[#This Row],[QTT]]&lt;&gt;0,"ThéCol - Thé Froid Artisanal"," ")</f>
        <v xml:space="preserve"> </v>
      </c>
      <c r="C26" s="14" t="s">
        <v>9</v>
      </c>
      <c r="D26" s="12" t="s">
        <v>15</v>
      </c>
    </row>
    <row r="27" spans="1:4" hidden="1">
      <c r="A27" s="25">
        <v>0</v>
      </c>
      <c r="B27" s="8" t="str">
        <f>IF(Tableau1[[#This Row],[QTT]]&lt;&gt;0,"ThéCol - Thé Froid Artisanal"," ")</f>
        <v xml:space="preserve"> </v>
      </c>
      <c r="C27" s="14" t="s">
        <v>11</v>
      </c>
      <c r="D27" s="12" t="s">
        <v>13</v>
      </c>
    </row>
    <row r="28" spans="1:4" hidden="1">
      <c r="A28" s="25">
        <v>0</v>
      </c>
      <c r="B28" s="8" t="str">
        <f>IF(Tableau1[[#This Row],[QTT]]&lt;&gt;0,"ThéCol - Thé Froid Artisanal"," ")</f>
        <v xml:space="preserve"> </v>
      </c>
      <c r="C28" s="14" t="s">
        <v>11</v>
      </c>
      <c r="D28" s="12" t="s">
        <v>14</v>
      </c>
    </row>
    <row r="29" spans="1:4">
      <c r="A29" s="25"/>
      <c r="B29" s="8" t="str">
        <f>IF(Tableau1[[#This Row],[QTT]]&lt;&gt;0,"ThéCol - Thé Froid Artisanal"," ")</f>
        <v xml:space="preserve"> </v>
      </c>
      <c r="C29" s="14"/>
      <c r="D29" s="13"/>
    </row>
    <row r="30" spans="1:4" hidden="1">
      <c r="A30" s="25">
        <v>0</v>
      </c>
      <c r="B30" s="8" t="str">
        <f>IF(Tableau1[[#This Row],[QTT]]&lt;&gt;0,"ThéCol - Thé Froid Artisanal"," ")</f>
        <v xml:space="preserve"> </v>
      </c>
      <c r="C30" s="14" t="s">
        <v>21</v>
      </c>
      <c r="D30" s="13" t="s">
        <v>13</v>
      </c>
    </row>
    <row r="31" spans="1:4" hidden="1">
      <c r="A31" s="25">
        <v>0</v>
      </c>
      <c r="B31" s="8" t="str">
        <f>IF(Tableau1[[#This Row],[QTT]]&lt;&gt;0,"ThéCol - Thé Froid Artisanal"," ")</f>
        <v xml:space="preserve"> </v>
      </c>
      <c r="C31" s="14" t="s">
        <v>21</v>
      </c>
      <c r="D31" s="13" t="s">
        <v>14</v>
      </c>
    </row>
    <row r="32" spans="1:4">
      <c r="A32" s="25"/>
      <c r="B32" s="8" t="str">
        <f>IF(Tableau1[[#This Row],[QTT]]&lt;&gt;0,"ThéCol - Thé Froid Artisanal"," ")</f>
        <v xml:space="preserve"> </v>
      </c>
      <c r="C32" s="14"/>
      <c r="D32" s="13"/>
    </row>
    <row r="33" spans="1:5" hidden="1">
      <c r="A33" s="25">
        <v>0</v>
      </c>
      <c r="B33" s="8" t="str">
        <f>IF(Tableau1[[#This Row],[QTT]]&lt;&gt;0,"ThéCol - Thé Froid Artisanal"," ")</f>
        <v xml:space="preserve"> </v>
      </c>
      <c r="C33" s="14" t="s">
        <v>28</v>
      </c>
      <c r="D33" s="13" t="s">
        <v>13</v>
      </c>
    </row>
    <row r="34" spans="1:5" hidden="1">
      <c r="A34" s="25">
        <v>0</v>
      </c>
      <c r="B34" s="8" t="str">
        <f>IF(Tableau1[[#This Row],[QTT]]&lt;&gt;0,"ThéCol - Thé Froid Artisanal"," ")</f>
        <v xml:space="preserve"> </v>
      </c>
      <c r="C34" s="14" t="s">
        <v>28</v>
      </c>
      <c r="D34" s="13" t="s">
        <v>14</v>
      </c>
    </row>
    <row r="35" spans="1:5">
      <c r="A35" s="25"/>
      <c r="B35" s="8" t="str">
        <f>IF(Tableau1[[#This Row],[QTT]]&lt;&gt;0,"ThéCol - Thé Froid Artisanal"," ")</f>
        <v xml:space="preserve"> </v>
      </c>
      <c r="C35" s="14"/>
      <c r="D35" s="13"/>
    </row>
    <row r="36" spans="1:5" hidden="1">
      <c r="A36" s="25">
        <v>0</v>
      </c>
      <c r="B36" s="8" t="str">
        <f>IF(Tableau1[[#This Row],[QTT]]&lt;&gt;0,"ThéCol - Thé Froid Artisanal"," ")</f>
        <v xml:space="preserve"> </v>
      </c>
      <c r="C36" s="14" t="s">
        <v>12</v>
      </c>
      <c r="D36" s="12" t="s">
        <v>13</v>
      </c>
    </row>
    <row r="37" spans="1:5" hidden="1">
      <c r="A37" s="25">
        <v>0</v>
      </c>
      <c r="B37" s="8" t="str">
        <f>IF(Tableau1[[#This Row],[QTT]]&lt;&gt;0,"ThéCol - Thé Froid Artisanal"," ")</f>
        <v xml:space="preserve"> </v>
      </c>
      <c r="C37" s="15" t="s">
        <v>12</v>
      </c>
      <c r="D37" s="12" t="s">
        <v>14</v>
      </c>
    </row>
    <row r="38" spans="1:5" hidden="1">
      <c r="A38" s="25">
        <v>0</v>
      </c>
      <c r="B38" s="22" t="str">
        <f>IF(Tableau1[[#This Row],[QTT]]&lt;&gt;0,"ThéCol - Thé Froid Artisanal"," ")</f>
        <v xml:space="preserve"> </v>
      </c>
      <c r="C38" s="14" t="s">
        <v>12</v>
      </c>
      <c r="D38" s="13" t="s">
        <v>15</v>
      </c>
    </row>
    <row r="39" spans="1:5" ht="14.25" customHeight="1">
      <c r="A39" s="25"/>
      <c r="B39" s="8"/>
      <c r="C39" s="11"/>
      <c r="D39" s="9"/>
    </row>
    <row r="40" spans="1:5" ht="14.25" customHeight="1">
      <c r="A40" s="27"/>
      <c r="B40" s="10"/>
      <c r="C40" s="5"/>
      <c r="D40" s="5"/>
    </row>
    <row r="41" spans="1:5" ht="2.25" hidden="1" customHeight="1">
      <c r="A41" s="25">
        <v>0</v>
      </c>
      <c r="B41" s="8" t="s">
        <v>22</v>
      </c>
      <c r="C41" s="9"/>
      <c r="D41" s="28"/>
    </row>
    <row r="42" spans="1:5" hidden="1">
      <c r="A42" s="25">
        <v>0</v>
      </c>
      <c r="B42" s="8" t="s">
        <v>22</v>
      </c>
      <c r="C42" s="10"/>
      <c r="D42" s="9"/>
    </row>
    <row r="43" spans="1:5" hidden="1">
      <c r="A43" s="25">
        <v>0</v>
      </c>
      <c r="B43" s="8" t="s">
        <v>20</v>
      </c>
      <c r="C43" s="11" t="s">
        <v>24</v>
      </c>
      <c r="D43" s="9" t="s">
        <v>15</v>
      </c>
    </row>
    <row r="44" spans="1:5">
      <c r="A44" s="5"/>
      <c r="B44" s="5" t="str">
        <f>IF(Tableau1[[#This Row],[QTT]]&lt;&gt;0,"ThéCol - Thé Froid Artisanal"," ")</f>
        <v xml:space="preserve"> </v>
      </c>
      <c r="C44" s="5"/>
      <c r="D44" s="5"/>
    </row>
    <row r="45" spans="1:5" ht="14.25" customHeight="1"/>
    <row r="46" spans="1:5" ht="15" customHeight="1">
      <c r="B46" s="17"/>
      <c r="C46" s="16"/>
      <c r="D46" t="s">
        <v>29</v>
      </c>
    </row>
    <row r="47" spans="1:5" ht="15" customHeight="1" thickBot="1">
      <c r="B47" s="16"/>
      <c r="C47" s="16"/>
      <c r="D47" s="2"/>
      <c r="E47" t="s">
        <v>25</v>
      </c>
    </row>
    <row r="48" spans="1:5" ht="15" customHeight="1" thickBot="1">
      <c r="A48" s="29"/>
      <c r="B48" s="26" t="s">
        <v>16</v>
      </c>
      <c r="C48" s="16"/>
      <c r="D48" s="2"/>
      <c r="E48" t="s">
        <v>26</v>
      </c>
    </row>
    <row r="49" spans="1:6" ht="15" customHeight="1" thickBot="1">
      <c r="A49" s="29"/>
      <c r="B49" s="26" t="s">
        <v>17</v>
      </c>
      <c r="C49" s="16"/>
      <c r="D49" s="2"/>
      <c r="E49" s="31" t="s">
        <v>23</v>
      </c>
    </row>
    <row r="50" spans="1:6" ht="15" customHeight="1" thickBot="1">
      <c r="A50" s="29"/>
      <c r="B50" s="26" t="s">
        <v>18</v>
      </c>
      <c r="C50" s="16"/>
      <c r="D50" s="2"/>
    </row>
    <row r="51" spans="1:6" ht="15.75" thickBot="1">
      <c r="A51" s="30"/>
      <c r="B51" s="26" t="s">
        <v>19</v>
      </c>
      <c r="C51" s="16"/>
      <c r="D51" t="s">
        <v>27</v>
      </c>
      <c r="E51" s="32" t="e">
        <f>VLOOKUP(F7,#REF!,10,FALSE)</f>
        <v>#REF!</v>
      </c>
      <c r="F51" s="2"/>
    </row>
    <row r="52" spans="1:6" ht="28.5" customHeight="1">
      <c r="B52" s="26"/>
      <c r="C52" s="16"/>
      <c r="E52" s="2"/>
      <c r="F52" s="2"/>
    </row>
    <row r="53" spans="1:6">
      <c r="B53" s="16"/>
      <c r="C53" s="16"/>
      <c r="E53" s="2"/>
      <c r="F53" s="2"/>
    </row>
    <row r="54" spans="1:6" ht="21">
      <c r="A54" s="6">
        <f>F7</f>
        <v>0</v>
      </c>
      <c r="B54" s="16"/>
      <c r="C54" s="16"/>
      <c r="E54" s="2"/>
      <c r="F54" s="2"/>
    </row>
    <row r="55" spans="1:6" ht="42" customHeight="1">
      <c r="E55" s="2"/>
      <c r="F55" s="2"/>
    </row>
    <row r="56" spans="1:6" ht="21">
      <c r="A56" s="6" t="s">
        <v>2</v>
      </c>
      <c r="B56" s="6"/>
      <c r="E56" s="2"/>
      <c r="F56" s="2"/>
    </row>
    <row r="57" spans="1:6" ht="51" customHeight="1">
      <c r="D57" s="33" t="e" vm="1">
        <v>#VALUE!</v>
      </c>
      <c r="E57" s="33"/>
      <c r="F57" s="33"/>
    </row>
    <row r="58" spans="1:6">
      <c r="B58" s="33"/>
      <c r="D58" s="33"/>
      <c r="E58" s="33"/>
      <c r="F58" s="33"/>
    </row>
    <row r="59" spans="1:6">
      <c r="B59" s="33"/>
      <c r="D59" s="33"/>
      <c r="E59" s="33"/>
      <c r="F59" s="33"/>
    </row>
    <row r="60" spans="1:6">
      <c r="D60" s="2"/>
    </row>
    <row r="61" spans="1:6">
      <c r="D61" s="2"/>
    </row>
  </sheetData>
  <mergeCells count="2">
    <mergeCell ref="B58:B59"/>
    <mergeCell ref="D57:F59"/>
  </mergeCells>
  <pageMargins left="1" right="1" top="1" bottom="1" header="0.5" footer="0.5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88F0296-B037-4558-8BF3-BF1788835FEC}">
          <x14:formula1>
            <xm:f>#REF!</xm:f>
          </x14:formula1>
          <xm:sqref>F7</xm:sqref>
        </x14:dataValidation>
        <x14:dataValidation type="list" allowBlank="1" showInputMessage="1" showErrorMessage="1" xr:uid="{F91DE666-C1EC-46FF-BFAC-77ABE88F7950}">
          <x14:formula1>
            <xm:f>#REF!</xm:f>
          </x14:formula1>
          <xm:sqref>C15:C38</xm:sqref>
        </x14:dataValidation>
        <x14:dataValidation type="list" allowBlank="1" showInputMessage="1" showErrorMessage="1" xr:uid="{B9B91086-C40D-46C4-8549-1E3A0C7DF361}">
          <x14:formula1>
            <xm:f>#REF!</xm:f>
          </x14:formula1>
          <xm:sqref>D15:D38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Bulletin de livraison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Philippe Ong</cp:lastModifiedBy>
  <cp:lastPrinted>2025-10-23T16:14:53Z</cp:lastPrinted>
  <dcterms:created xsi:type="dcterms:W3CDTF">2024-04-26T14:35:05Z</dcterms:created>
  <dcterms:modified xsi:type="dcterms:W3CDTF">2026-03-27T12:42:16Z</dcterms:modified>
</cp:coreProperties>
</file>