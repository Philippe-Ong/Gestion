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oahb\Desktop\Thécol\Finances\Livraison et facturation\"/>
    </mc:Choice>
  </mc:AlternateContent>
  <xr:revisionPtr revIDLastSave="0" documentId="13_ncr:1_{8FF0E999-4ECE-4970-AD15-5307EE881E75}" xr6:coauthVersionLast="47" xr6:coauthVersionMax="47" xr10:uidLastSave="{00000000-0000-0000-0000-000000000000}"/>
  <bookViews>
    <workbookView xWindow="3660" yWindow="2085" windowWidth="28800" windowHeight="15345" xr2:uid="{C5804516-DE8A-4579-A9F8-8DDE14F0BC4E}"/>
  </bookViews>
  <sheets>
    <sheet name="Bulletin de livrais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<sst xmlns="http://schemas.openxmlformats.org/spreadsheetml/2006/main" count="346" uniqueCount="210">
  <si>
    <t>local – artisanal – saveurs originales</t>
  </si>
  <si>
    <t>Date :</t>
  </si>
  <si>
    <t>Noah Bevegni, ThéCol</t>
  </si>
  <si>
    <t>QTT</t>
  </si>
  <si>
    <t>Description</t>
  </si>
  <si>
    <t>Format</t>
  </si>
  <si>
    <t>Arôme</t>
  </si>
  <si>
    <t>Liste arômes</t>
  </si>
  <si>
    <t>Poire à Botzi</t>
  </si>
  <si>
    <t>Mûres Sauvages</t>
  </si>
  <si>
    <t>Herbes des Alpes</t>
  </si>
  <si>
    <t xml:space="preserve">Menthe </t>
  </si>
  <si>
    <t>Hibiscus</t>
  </si>
  <si>
    <t>Edition Noël</t>
  </si>
  <si>
    <t>Liste Formats</t>
  </si>
  <si>
    <t>25 cl</t>
  </si>
  <si>
    <t>50 cl</t>
  </si>
  <si>
    <t>100 cl</t>
  </si>
  <si>
    <t>Adresse</t>
  </si>
  <si>
    <t>Société</t>
  </si>
  <si>
    <t>Tarifs</t>
  </si>
  <si>
    <t>1.2.3 Bocal</t>
  </si>
  <si>
    <t>Route de Fribourg 7a</t>
  </si>
  <si>
    <t>Liste Tarifs</t>
  </si>
  <si>
    <t>Distributeur</t>
  </si>
  <si>
    <t>Privé</t>
  </si>
  <si>
    <t>Spécial</t>
  </si>
  <si>
    <t>Au Bon Moment</t>
  </si>
  <si>
    <t>Route de Fribourg 17</t>
  </si>
  <si>
    <t>Audiopur</t>
  </si>
  <si>
    <t>Rue de Lausanne 60</t>
  </si>
  <si>
    <t>La ferme Planchy</t>
  </si>
  <si>
    <t>Rue du Rosé 61</t>
  </si>
  <si>
    <t>La grande Planche 2</t>
  </si>
  <si>
    <t>Fribourg Natation</t>
  </si>
  <si>
    <t>L'ART'isan Pâtissier</t>
  </si>
  <si>
    <t>Route de Fribourg 12</t>
  </si>
  <si>
    <t>La Vracrie</t>
  </si>
  <si>
    <t>Route Principale 90</t>
  </si>
  <si>
    <t>Les Bièrosophes Sàrl</t>
  </si>
  <si>
    <t>Rue du Valentin 7</t>
  </si>
  <si>
    <t>L'épicerie Papiy Sàrl</t>
  </si>
  <si>
    <t>Ruelle Thomas 21</t>
  </si>
  <si>
    <t>Piccand Vins &amp; Boissons</t>
  </si>
  <si>
    <t>Route des Grandseys 81</t>
  </si>
  <si>
    <t xml:space="preserve">Técole </t>
  </si>
  <si>
    <t>Rue de l'église 75</t>
  </si>
  <si>
    <t>Terre d'Elles</t>
  </si>
  <si>
    <t>Route du Barrage 21</t>
  </si>
  <si>
    <t>Terroir Fribourg</t>
  </si>
  <si>
    <t>Route de Chantemerie 41</t>
  </si>
  <si>
    <t>1784 Courtepin</t>
  </si>
  <si>
    <t>1723 Marly</t>
  </si>
  <si>
    <t>1700 Fribourg</t>
  </si>
  <si>
    <t>1630 Bulle</t>
  </si>
  <si>
    <t>1733 Treyvaux</t>
  </si>
  <si>
    <t>1746 Prez-vers-Noréaz</t>
  </si>
  <si>
    <t>1400 Yverdon-les-Bains</t>
  </si>
  <si>
    <t>1618 Châtel-St-Denis</t>
  </si>
  <si>
    <t>1564 Domdidier</t>
  </si>
  <si>
    <t>1680 Romont</t>
  </si>
  <si>
    <t>1763 Granges-Paccot</t>
  </si>
  <si>
    <t xml:space="preserve"> NPA &amp; Localité</t>
  </si>
  <si>
    <t>Prénom &amp; Nom</t>
  </si>
  <si>
    <t>Nathalie Oberson</t>
  </si>
  <si>
    <t>Céline Jeanbourquin</t>
  </si>
  <si>
    <t>Michael Deforné</t>
  </si>
  <si>
    <t>Elisa Crausaz</t>
  </si>
  <si>
    <t>Christian Hejda</t>
  </si>
  <si>
    <t>Nicolas Rouiller</t>
  </si>
  <si>
    <t>Alain Kaehr</t>
  </si>
  <si>
    <t>Laure Niquille Rahmann</t>
  </si>
  <si>
    <t>Emmanuelle Piccand</t>
  </si>
  <si>
    <t>Claude Oberson</t>
  </si>
  <si>
    <t>Caroline Masotti</t>
  </si>
  <si>
    <t>Yannick Etter</t>
  </si>
  <si>
    <t>Véronique Beaud</t>
  </si>
  <si>
    <t>Brodard Christiane</t>
  </si>
  <si>
    <t xml:space="preserve"> </t>
  </si>
  <si>
    <t>Livré : "ancienne caisse verte" IFCO</t>
  </si>
  <si>
    <t>Livré : "nouvelle caisse noire" IFCO</t>
  </si>
  <si>
    <t>Retour : "ancienne caisse verte" IFCO</t>
  </si>
  <si>
    <t>Retour : "nouvelle caisse noire" IFCO</t>
  </si>
  <si>
    <t>Mode facturation favorit</t>
  </si>
  <si>
    <t>Mode facturation</t>
  </si>
  <si>
    <t>E-Mail</t>
  </si>
  <si>
    <t>Envoi postal</t>
  </si>
  <si>
    <t>Coordonnées relatives</t>
  </si>
  <si>
    <t>info@aubonmoment.ch</t>
  </si>
  <si>
    <t>info@terredelles.ch</t>
  </si>
  <si>
    <t>ThéCol - Thé Froid Artisanal</t>
  </si>
  <si>
    <t>Sureau</t>
  </si>
  <si>
    <t>Autre</t>
  </si>
  <si>
    <t>Autre :</t>
  </si>
  <si>
    <t>michael@audiopur.ch</t>
  </si>
  <si>
    <t>Dégustation Su.</t>
  </si>
  <si>
    <t xml:space="preserve">par E-mail  </t>
  </si>
  <si>
    <t>par poste (+ 1CHF)</t>
  </si>
  <si>
    <t xml:space="preserve">À </t>
  </si>
  <si>
    <t>contact@123bocal.ch</t>
  </si>
  <si>
    <t>Escape and Fun</t>
  </si>
  <si>
    <t>Coralie Boss</t>
  </si>
  <si>
    <t>Route de Portalban 11</t>
  </si>
  <si>
    <t>1567 Delley</t>
  </si>
  <si>
    <t>boss.coralie@gmail.com</t>
  </si>
  <si>
    <t>1788 Praz Vully</t>
  </si>
  <si>
    <t>info@art-isan.ch</t>
  </si>
  <si>
    <t>vero.beaud@hotmail.com</t>
  </si>
  <si>
    <t>info@lesbierosophes.ch</t>
  </si>
  <si>
    <t>yannick.etter@terroir-fribourg.ch</t>
  </si>
  <si>
    <t>emmanuellepiccand@gmail.com</t>
  </si>
  <si>
    <t>laureniquille@gmail.com</t>
  </si>
  <si>
    <t>Fribourg Cybersecurity seminar</t>
  </si>
  <si>
    <t>HEIA-FR Michael Mäder</t>
  </si>
  <si>
    <t>Bd de Pérolles 80</t>
  </si>
  <si>
    <t>1700, Fribourg</t>
  </si>
  <si>
    <t>sur place à la livraison</t>
  </si>
  <si>
    <t>cricrihejda@gmail.com</t>
  </si>
  <si>
    <t>Rue du Village 10</t>
  </si>
  <si>
    <t>1034, Bousens</t>
  </si>
  <si>
    <t>Bastien Jaccaud</t>
  </si>
  <si>
    <t>Le Chalet de Boussens</t>
  </si>
  <si>
    <t>WhatsApp : 079 381 59 87</t>
  </si>
  <si>
    <t>Stéphanie Derron</t>
  </si>
  <si>
    <t>derron.stephanie@gmail.com</t>
  </si>
  <si>
    <t>Ia Vracrie</t>
  </si>
  <si>
    <t>Angéloz Mode</t>
  </si>
  <si>
    <t>Jonathan.Collaud@angeloz-mode.ch</t>
  </si>
  <si>
    <t>Centre la Tour</t>
  </si>
  <si>
    <t>Route de Pra-Riond 2</t>
  </si>
  <si>
    <t>1635 La Tour-de-Trême</t>
  </si>
  <si>
    <t>Café de la Marionnette</t>
  </si>
  <si>
    <t xml:space="preserve">Ines Haymoz </t>
  </si>
  <si>
    <t>Derrière-les-Jardins 2</t>
  </si>
  <si>
    <t>camille.marion@hotmail.com</t>
  </si>
  <si>
    <t>Camille Marion</t>
  </si>
  <si>
    <t>Festival du Film Vert de la Broye</t>
  </si>
  <si>
    <t>Commission Subsistance</t>
  </si>
  <si>
    <t>1544 Gletterens</t>
  </si>
  <si>
    <t>Pierrick Jay</t>
  </si>
  <si>
    <t>Sherlock Club, Patricia Ferltrin</t>
  </si>
  <si>
    <t>Grand-Rue 96</t>
  </si>
  <si>
    <t>1110 Morges</t>
  </si>
  <si>
    <t>contact@sherlock-events.ch</t>
  </si>
  <si>
    <t>ES Belfaux</t>
  </si>
  <si>
    <t>Case postale 14</t>
  </si>
  <si>
    <t>1782 Belfaux</t>
  </si>
  <si>
    <t>Caroline Benoit</t>
  </si>
  <si>
    <t>info@esbelfaux.ch</t>
  </si>
  <si>
    <t>Au Petit Marché</t>
  </si>
  <si>
    <t>Dominique Weislo</t>
  </si>
  <si>
    <t>Rue de la Neuveville 68</t>
  </si>
  <si>
    <t>Mérillat SA</t>
  </si>
  <si>
    <t xml:space="preserve">Gabrielle Kocher </t>
  </si>
  <si>
    <t>Les Cornette 6</t>
  </si>
  <si>
    <t>2735 Malleray BE</t>
  </si>
  <si>
    <t>gabrielle@merillatsa.ch</t>
  </si>
  <si>
    <t>L'Esprit du Fruit</t>
  </si>
  <si>
    <t>Valentin Blondel</t>
  </si>
  <si>
    <t>Rue d'Yverdon 19</t>
  </si>
  <si>
    <t>1023 Crissier</t>
  </si>
  <si>
    <t>commandes@mblondel.ch</t>
  </si>
  <si>
    <t>L'Antre d'Eux</t>
  </si>
  <si>
    <t>Aurore Borrat-Besson</t>
  </si>
  <si>
    <t>Rte de Champoussin 22</t>
  </si>
  <si>
    <t>1873 Champoussin</t>
  </si>
  <si>
    <t>lantredeuxchampoussin@gmail.com</t>
  </si>
  <si>
    <t>Didier Ecoffey</t>
  </si>
  <si>
    <t>Grand-Rue 4</t>
  </si>
  <si>
    <t>Boulangerie Didier Ecoffey</t>
  </si>
  <si>
    <t>boulangerie.ecoffey@bluewin.ch</t>
  </si>
  <si>
    <t>Fromagerie de Rossens</t>
  </si>
  <si>
    <t>Vincent Guillet</t>
  </si>
  <si>
    <t>Route du Barrage 100</t>
  </si>
  <si>
    <t>1728 Rossens</t>
  </si>
  <si>
    <t>fromagerieguillet@bluewin.ch</t>
  </si>
  <si>
    <t>La ferme du Ferrage</t>
  </si>
  <si>
    <t>Aurélie Pittet</t>
  </si>
  <si>
    <t>Route du ferrage 21</t>
  </si>
  <si>
    <t>1695 Rueyres-St-Laurent</t>
  </si>
  <si>
    <t>lafermeduferrage@bluewin.ch</t>
  </si>
  <si>
    <t>Au Bocal du Coin</t>
  </si>
  <si>
    <t>Stéphanie Caille</t>
  </si>
  <si>
    <t>Grand-Rue 26</t>
  </si>
  <si>
    <t>aubocalducoin@hotmail.com</t>
  </si>
  <si>
    <t>Fromagerie de Villaz-St-Pierre</t>
  </si>
  <si>
    <t>Vincent Rohrbasser</t>
  </si>
  <si>
    <t>Route de Fuyens 14</t>
  </si>
  <si>
    <t>1690 Villaz-St.-Pierre</t>
  </si>
  <si>
    <t>fromagerievillaz@outlook.com</t>
  </si>
  <si>
    <t>Fromagerie de Ponthaux</t>
  </si>
  <si>
    <t>Aline Ponti</t>
  </si>
  <si>
    <t>Au Village 13</t>
  </si>
  <si>
    <t>1772 Ponthaux</t>
  </si>
  <si>
    <t>aline_ponti@hotmail.com</t>
  </si>
  <si>
    <t>Angelica Verani</t>
  </si>
  <si>
    <t>Bar Gelateria Verani</t>
  </si>
  <si>
    <t>Rue de la Neuveville 52</t>
  </si>
  <si>
    <t>angelica.verani@xs4all.nl</t>
  </si>
  <si>
    <t>Assemblage</t>
  </si>
  <si>
    <t>Gisèle Maudua-Gachet</t>
  </si>
  <si>
    <t>Pl. de l'Ancienne Papetterie 4</t>
  </si>
  <si>
    <t>mathilde.devaud@akdagsa.ch</t>
  </si>
  <si>
    <t>Coing</t>
  </si>
  <si>
    <t>Facturation :</t>
  </si>
  <si>
    <t xml:space="preserve">Grangeneuve </t>
  </si>
  <si>
    <t>Gilles Genoud</t>
  </si>
  <si>
    <t>Route de Grangeneuve 19</t>
  </si>
  <si>
    <t>1725 Posieux</t>
  </si>
  <si>
    <t>gilles.genoud@fr.ch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</si>
</sst>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&quot;CHF&quot;"/>
  </numFmts>
  <fonts count="13">
    <font>
      <sz val="11"/>
      <color theme="1"/>
      <name val="Aptos Narrow"/>
      <family val="2"/>
      <scheme val="minor"/>
    </font>
    <font>
      <sz val="12"/>
      <color rgb="FF2DA64F"/>
      <name val="Brush Script MT"/>
      <family val="4"/>
    </font>
    <font>
      <sz val="32"/>
      <color theme="1"/>
      <name val="Calibri Light (Titre)"/>
    </font>
    <font>
      <sz val="11"/>
      <color theme="1"/>
      <name val="Calibri"/>
      <family val="2"/>
    </font>
    <font>
      <sz val="16"/>
      <color theme="1"/>
      <name val="Calibri"/>
      <family val="2"/>
    </font>
    <font>
      <sz val="11"/>
      <color theme="0"/>
      <name val="Calibri"/>
      <family val="2"/>
    </font>
    <font>
      <sz val="11"/>
      <color rgb="FF387E58"/>
      <name val="Calibri"/>
      <family val="2"/>
    </font>
    <font>
      <b/>
      <sz val="11"/>
      <color rgb="FF387E58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2"/>
      <color theme="1"/>
      <name val="Aptos"/>
      <family val="2"/>
    </font>
    <font>
      <sz val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right"/>
    </xf>
    <xf numFmtId="14" fontId="3" fillId="0" borderId="0" xfId="0" applyNumberFormat="1" applyFont="1"/>
    <xf numFmtId="0" fontId="3" fillId="0" borderId="0" xfId="0" applyFont="1"/>
    <xf numFmtId="0" fontId="4" fillId="0" borderId="0" xfId="0" applyFont="1"/>
    <xf numFmtId="0" fontId="2" fillId="0" borderId="0" xfId="0" applyFon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0" fontId="3" fillId="0" borderId="2" xfId="0" applyFont="1" applyBorder="1"/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3" fillId="0" borderId="5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0" fontId="8" fillId="0" borderId="2" xfId="0" applyFont="1" applyBorder="1"/>
    <xf numFmtId="0" fontId="8" fillId="0" borderId="5" xfId="0" applyFont="1" applyBorder="1" applyAlignment="1">
      <alignment horizontal="left"/>
    </xf>
    <xf numFmtId="0" fontId="8" fillId="0" borderId="3" xfId="0" applyFont="1" applyBorder="1" applyAlignment="1">
      <alignment horizontal="right"/>
    </xf>
    <xf numFmtId="0" fontId="3" fillId="0" borderId="7" xfId="0" applyFont="1" applyBorder="1"/>
    <xf numFmtId="0" fontId="5" fillId="0" borderId="0" xfId="0" applyFont="1"/>
    <xf numFmtId="0" fontId="8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8" fillId="0" borderId="0" xfId="0" applyFont="1"/>
    <xf numFmtId="164" fontId="10" fillId="0" borderId="0" xfId="1" applyNumberFormat="1"/>
    <xf numFmtId="0" fontId="3" fillId="0" borderId="0" xfId="0" applyFont="1" applyAlignment="1">
      <alignment horizontal="center"/>
    </xf>
    <xf numFmtId="0" fontId="3" fillId="0" borderId="1" xfId="0" applyFont="1" applyBorder="1"/>
    <xf numFmtId="0" fontId="0" fillId="0" borderId="8" xfId="0" applyBorder="1" applyAlignment="1">
      <alignment horizontal="center"/>
    </xf>
    <xf numFmtId="0" fontId="10" fillId="0" borderId="0" xfId="1"/>
    <xf numFmtId="0" fontId="0" fillId="0" borderId="8" xfId="0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0" fillId="0" borderId="0" xfId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2" xfId="0" applyNumberFormat="1" applyFont="1" applyBorder="1"/>
    <xf numFmtId="0" fontId="0" fillId="0" borderId="0" xfId="0" applyAlignment="1">
      <alignment horizontal="left"/>
    </xf>
  </cellXfs>
  <cellStyles count="2">
    <cellStyle name="Lien hypertexte" xfId="1" builtinId="8"/>
    <cellStyle name="Normal" xfId="0" builtinId="0"/>
  </cellStyles>
  <dxfs count="11"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numFmt numFmtId="164" formatCode="#,##0.00\ &quot;CHF&quot;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1" defaultTableStyle="TableStyleMedium2" defaultPivotStyle="PivotStyleLight16">
    <tableStyle name="Style de tableau croisé dynamique 1" table="0" count="0" xr9:uid="{8F24DC31-CDC3-479E-9B4D-CAC5C5F9511D}"/>
  </tableStyles>
  <colors>
    <mruColors>
      <color rgb="FFDBFEE0"/>
      <color rgb="FF387E5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Relationship Id="rId5" Type="http://schemas.openxmlformats.org/officeDocument/2006/relationships/image" Target="../media/image6.pn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9247</xdr:colOff>
      <xdr:row>0</xdr:row>
      <xdr:rowOff>36991</xdr:rowOff>
    </xdr:from>
    <xdr:to>
      <xdr:col>1</xdr:col>
      <xdr:colOff>480875</xdr:colOff>
      <xdr:row>4</xdr:row>
      <xdr:rowOff>74156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F60FB89-AA22-7BB2-D1E2-DC7A43B277B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07"/>
        <a:stretch/>
      </xdr:blipFill>
      <xdr:spPr bwMode="auto">
        <a:xfrm>
          <a:off x="9247" y="36991"/>
          <a:ext cx="908050" cy="912495"/>
        </a:xfrm>
        <a:prstGeom prst="rect">
          <a:avLst/>
        </a:prstGeom>
        <a:noFill/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0</xdr:col>
      <xdr:colOff>18495</xdr:colOff>
      <xdr:row>6</xdr:row>
      <xdr:rowOff>55486</xdr:rowOff>
    </xdr:from>
    <xdr:to>
      <xdr:col>1</xdr:col>
      <xdr:colOff>1261494</xdr:colOff>
      <xdr:row>10</xdr:row>
      <xdr:rowOff>148640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30B9F1C-7911-68BC-05E0-7BAD19ECAAA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31"/>
        <a:stretch/>
      </xdr:blipFill>
      <xdr:spPr bwMode="auto">
        <a:xfrm>
          <a:off x="18495" y="1239175"/>
          <a:ext cx="1675722" cy="86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376214</xdr:colOff>
      <xdr:row>55</xdr:row>
      <xdr:rowOff>127240</xdr:rowOff>
    </xdr:from>
    <xdr:to>
      <xdr:col>1</xdr:col>
      <xdr:colOff>1096651</xdr:colOff>
      <xdr:row>60</xdr:row>
      <xdr:rowOff>13383</xdr:rowOff>
    </xdr:to>
    <xdr:pic>
      <xdr:nvPicPr>
        <xdr:cNvPr id="5" name="Image 4" descr="Une image contenant texte&#10;&#10;Description générée automatiquement">
          <a:extLst>
            <a:ext uri="{FF2B5EF4-FFF2-40B4-BE49-F238E27FC236}">
              <a16:creationId xmlns:a16="http://schemas.microsoft.com/office/drawing/2014/main" id="{680B099F-F326-9EE0-6C45-94DD39D8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6214" y="7549413"/>
          <a:ext cx="1160052" cy="1366183"/>
        </a:xfrm>
        <a:prstGeom prst="rect">
          <a:avLst/>
        </a:prstGeom>
      </xdr:spPr>
    </xdr:pic>
    <xdr:clientData/>
  </xdr:twoCellAnchor>
  <xdr:twoCellAnchor editAs="oneCell">
    <xdr:from>
      <xdr:col>3</xdr:col>
      <xdr:colOff>364303</xdr:colOff>
      <xdr:row>6</xdr:row>
      <xdr:rowOff>19049</xdr:rowOff>
    </xdr:from>
    <xdr:to>
      <xdr:col>4</xdr:col>
      <xdr:colOff>232815</xdr:colOff>
      <xdr:row>7</xdr:row>
      <xdr:rowOff>27244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5C2AE55F-B445-FAE5-DD92-FD8B0BF826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53688" y="1279280"/>
          <a:ext cx="249512" cy="19869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345235</xdr:colOff>
      <xdr:row>0</xdr:row>
      <xdr:rowOff>25211</xdr:rowOff>
    </xdr:from>
    <xdr:to>
      <xdr:col>6</xdr:col>
      <xdr:colOff>36634</xdr:colOff>
      <xdr:row>3</xdr:row>
      <xdr:rowOff>122606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3FABAA81-8811-136C-B4CE-F6E9CDBAA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34620" y="25211"/>
          <a:ext cx="1948092" cy="764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0EAD78-21B9-453B-AABA-02EE8646C4F8}" name="Tableau1" displayName="Tableau1" ref="A14:D44" totalsRowShown="0" headerRowDxfId="10" dataDxfId="9">
  <autoFilter ref="A14:D44" xr:uid="{DE0EAD78-21B9-453B-AABA-02EE8646C4F8}">
    <filterColumn colId="0">
      <filters blank="1">
        <filter val="12"/>
        <filter val="18"/>
        <filter val="24"/>
        <filter val="6"/>
      </filters>
    </filterColumn>
  </autoFilter>
  <tableColumns count="4">
    <tableColumn id="1" xr3:uid="{1A477314-2E09-4C98-BAC6-896516FACBCF}" name="QTT" dataDxfId="8"/>
    <tableColumn id="2" xr3:uid="{38558BE9-82AC-43AB-A07D-B067A83EA99E}" name="Description" dataDxfId="7">
      <calculatedColumnFormula>IF(Tableau1[[#This Row],[QTT]]&lt;&gt;0,"ThéCol - Thé Froid Artisanal"," ")</calculatedColumnFormula>
    </tableColumn>
    <tableColumn id="3" xr3:uid="{8422D6DD-456B-478D-A22C-DE624EDE619C}" name="Arôme" dataDxfId="6"/>
    <tableColumn id="4" xr3:uid="{975D51B1-3BEB-45A8-9486-4C2BEDCCBA24}" name="Format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C3373-AE42-4256-BB11-C40A43E6AE39}">
  <dimension ref="A2:F61"/>
  <sheetViews>
    <sheetView tabSelected="1" zoomScale="130" zoomScaleNormal="130" workbookViewId="0">
      <selection activeCell="F6" sqref="F6"/>
    </sheetView>
  </sheetViews>
  <sheetFormatPr baseColWidth="10" defaultRowHeight="15"/>
  <cols>
    <col min="1" max="1" width="6.5703125" customWidth="1"/>
    <col min="2" max="2" width="23.7109375" customWidth="1"/>
    <col min="3" max="3" width="15" customWidth="1"/>
    <col min="4" max="4" width="5.7109375" customWidth="1"/>
    <col min="5" max="5" width="11.28515625" customWidth="1"/>
    <col min="6" max="6" width="16.85546875" customWidth="1"/>
  </cols>
  <sheetData>
    <row r="2" spans="1:6" ht="22.5" customHeight="1">
      <c r="F2" s="7"/>
    </row>
    <row r="3" spans="1:6">
      <c r="F3" s="2"/>
    </row>
    <row r="4" spans="1:6">
      <c r="E4" s="20"/>
      <c r="F4" s="4"/>
    </row>
    <row r="5" spans="1:6">
      <c r="E5" s="20" t="s">
        <v>1</v>
      </c>
      <c r="F5" s="4">
        <f ca="1">TODAY()</f>
        <v>45953</v>
      </c>
    </row>
    <row r="6" spans="1:6" ht="16.5">
      <c r="A6" s="1" t="s">
        <v>0</v>
      </c>
      <c r="B6" s="1"/>
      <c r="E6" s="5"/>
      <c r="F6" s="5"/>
    </row>
    <row r="7" spans="1:6">
      <c r="E7" s="20"/>
      <c r="F7" s="3" t="s">
        <v>131</v>
      </c>
    </row>
    <row r="8" spans="1:6">
      <c r="E8" s="3"/>
      <c r="F8" s="3" t="str">
        <f>VLOOKUP(F7,Tableau4[],2,FALSE)</f>
        <v xml:space="preserve">Ines Haymoz </v>
      </c>
    </row>
    <row r="9" spans="1:6">
      <c r="E9" s="5"/>
      <c r="F9" s="3" t="str">
        <f>VLOOKUP(F7,Tableau4[],3,FALSE)</f>
        <v>Derrière-les-Jardins 2</v>
      </c>
    </row>
    <row r="10" spans="1:6">
      <c r="E10" s="5"/>
      <c r="F10" s="3" t="str">
        <f>VLOOKUP(F7,Tableau4[],4,FALSE)</f>
        <v>1700 Fribourg</v>
      </c>
    </row>
    <row r="12" spans="1:6" ht="7.5" customHeight="1"/>
    <row r="14" spans="1:6">
      <c r="A14" s="5" t="s">
        <v>3</v>
      </c>
      <c r="B14" s="5" t="s">
        <v>4</v>
      </c>
      <c r="C14" s="25" t="s">
        <v>6</v>
      </c>
      <c r="D14" s="25" t="s">
        <v>5</v>
      </c>
    </row>
    <row r="15" spans="1:6" hidden="1">
      <c r="A15" s="26">
        <v>0</v>
      </c>
      <c r="B15" s="21" t="str">
        <f>IF(Tableau1[[#This Row],[QTT]]&lt;&gt;0,"ThéCol - Thé Froid Artisanal"," ")</f>
        <v xml:space="preserve"> </v>
      </c>
      <c r="C15" s="22" t="s">
        <v>8</v>
      </c>
      <c r="D15" s="23" t="s">
        <v>15</v>
      </c>
    </row>
    <row r="16" spans="1:6" hidden="1">
      <c r="A16" s="27">
        <v>0</v>
      </c>
      <c r="B16" s="10" t="str">
        <f>IF(Tableau1[[#This Row],[QTT]]&lt;&gt;0,"ThéCol - Thé Froid Artisanal"," ")</f>
        <v xml:space="preserve"> </v>
      </c>
      <c r="C16" s="16" t="s">
        <v>8</v>
      </c>
      <c r="D16" s="14" t="s">
        <v>16</v>
      </c>
    </row>
    <row r="17" spans="1:4">
      <c r="A17" s="27">
        <v>18</v>
      </c>
      <c r="B17" s="10" t="str">
        <f>IF(Tableau1[[#This Row],[QTT]]&lt;&gt;0,"ThéCol - Thé Froid Artisanal"," ")</f>
        <v>ThéCol - Thé Froid Artisanal</v>
      </c>
      <c r="C17" s="16" t="s">
        <v>8</v>
      </c>
      <c r="D17" s="14" t="s">
        <v>17</v>
      </c>
    </row>
    <row r="18" spans="1:4" hidden="1">
      <c r="A18" s="27">
        <v>0</v>
      </c>
      <c r="B18" s="10" t="str">
        <f>IF(Tableau1[[#This Row],[QTT]]&lt;&gt;0,"ThéCol - Thé Froid Artisanal"," ")</f>
        <v xml:space="preserve"> </v>
      </c>
      <c r="C18" s="16" t="s">
        <v>11</v>
      </c>
      <c r="D18" s="14" t="s">
        <v>15</v>
      </c>
    </row>
    <row r="19" spans="1:4" hidden="1">
      <c r="A19" s="27">
        <v>0</v>
      </c>
      <c r="B19" s="10" t="str">
        <f>IF(Tableau1[[#This Row],[QTT]]&lt;&gt;0,"ThéCol - Thé Froid Artisanal"," ")</f>
        <v xml:space="preserve"> </v>
      </c>
      <c r="C19" s="16" t="s">
        <v>11</v>
      </c>
      <c r="D19" s="14" t="s">
        <v>16</v>
      </c>
    </row>
    <row r="20" spans="1:4" hidden="1">
      <c r="A20" s="27">
        <v>0</v>
      </c>
      <c r="B20" s="10" t="str">
        <f>IF(Tableau1[[#This Row],[QTT]]&lt;&gt;0,"ThéCol - Thé Froid Artisanal"," ")</f>
        <v xml:space="preserve"> </v>
      </c>
      <c r="C20" s="16" t="s">
        <v>11</v>
      </c>
      <c r="D20" s="14" t="s">
        <v>17</v>
      </c>
    </row>
    <row r="21" spans="1:4" hidden="1">
      <c r="A21" s="27">
        <v>0</v>
      </c>
      <c r="B21" s="10" t="str">
        <f>IF(Tableau1[[#This Row],[QTT]]&lt;&gt;0,"ThéCol - Thé Froid Artisanal"," ")</f>
        <v xml:space="preserve"> </v>
      </c>
      <c r="C21" s="16" t="s">
        <v>9</v>
      </c>
      <c r="D21" s="14" t="s">
        <v>15</v>
      </c>
    </row>
    <row r="22" spans="1:4" hidden="1">
      <c r="A22" s="27">
        <v>0</v>
      </c>
      <c r="B22" s="10" t="str">
        <f>IF(Tableau1[[#This Row],[QTT]]&lt;&gt;0,"ThéCol - Thé Froid Artisanal"," ")</f>
        <v xml:space="preserve"> </v>
      </c>
      <c r="C22" s="16" t="s">
        <v>9</v>
      </c>
      <c r="D22" s="14" t="s">
        <v>16</v>
      </c>
    </row>
    <row r="23" spans="1:4" hidden="1">
      <c r="A23" s="27">
        <v>0</v>
      </c>
      <c r="B23" s="10" t="str">
        <f>IF(Tableau1[[#This Row],[QTT]]&lt;&gt;0,"ThéCol - Thé Froid Artisanal"," ")</f>
        <v xml:space="preserve"> </v>
      </c>
      <c r="C23" s="16" t="s">
        <v>9</v>
      </c>
      <c r="D23" s="14" t="s">
        <v>17</v>
      </c>
    </row>
    <row r="24" spans="1:4" hidden="1">
      <c r="A24" s="27">
        <v>0</v>
      </c>
      <c r="B24" s="10" t="str">
        <f>IF(Tableau1[[#This Row],[QTT]]&lt;&gt;0,"ThéCol - Thé Froid Artisanal"," ")</f>
        <v xml:space="preserve"> </v>
      </c>
      <c r="C24" s="16" t="s">
        <v>10</v>
      </c>
      <c r="D24" s="14" t="s">
        <v>15</v>
      </c>
    </row>
    <row r="25" spans="1:4" hidden="1">
      <c r="A25" s="27">
        <v>0</v>
      </c>
      <c r="B25" s="10" t="str">
        <f>IF(Tableau1[[#This Row],[QTT]]&lt;&gt;0,"ThéCol - Thé Froid Artisanal"," ")</f>
        <v xml:space="preserve"> </v>
      </c>
      <c r="C25" s="16" t="s">
        <v>10</v>
      </c>
      <c r="D25" s="14" t="s">
        <v>16</v>
      </c>
    </row>
    <row r="26" spans="1:4" hidden="1">
      <c r="A26" s="27">
        <v>0</v>
      </c>
      <c r="B26" s="10" t="str">
        <f>IF(Tableau1[[#This Row],[QTT]]&lt;&gt;0,"ThéCol - Thé Froid Artisanal"," ")</f>
        <v xml:space="preserve"> </v>
      </c>
      <c r="C26" s="16" t="s">
        <v>10</v>
      </c>
      <c r="D26" s="14" t="s">
        <v>17</v>
      </c>
    </row>
    <row r="27" spans="1:4" hidden="1">
      <c r="A27" s="27">
        <v>0</v>
      </c>
      <c r="B27" s="10" t="str">
        <f>IF(Tableau1[[#This Row],[QTT]]&lt;&gt;0,"ThéCol - Thé Froid Artisanal"," ")</f>
        <v xml:space="preserve"> </v>
      </c>
      <c r="C27" s="16" t="s">
        <v>12</v>
      </c>
      <c r="D27" s="14" t="s">
        <v>15</v>
      </c>
    </row>
    <row r="28" spans="1:4" hidden="1">
      <c r="A28" s="27">
        <v>0</v>
      </c>
      <c r="B28" s="10" t="str">
        <f>IF(Tableau1[[#This Row],[QTT]]&lt;&gt;0,"ThéCol - Thé Froid Artisanal"," ")</f>
        <v xml:space="preserve"> </v>
      </c>
      <c r="C28" s="16" t="s">
        <v>12</v>
      </c>
      <c r="D28" s="14" t="s">
        <v>16</v>
      </c>
    </row>
    <row r="29" spans="1:4">
      <c r="A29" s="27">
        <v>6</v>
      </c>
      <c r="B29" s="10" t="str">
        <f>IF(Tableau1[[#This Row],[QTT]]&lt;&gt;0,"ThéCol - Thé Froid Artisanal"," ")</f>
        <v>ThéCol - Thé Froid Artisanal</v>
      </c>
      <c r="C29" s="16" t="s">
        <v>12</v>
      </c>
      <c r="D29" s="15" t="s">
        <v>17</v>
      </c>
    </row>
    <row r="30" spans="1:4" hidden="1">
      <c r="A30" s="27">
        <v>0</v>
      </c>
      <c r="B30" s="10" t="str">
        <f>IF(Tableau1[[#This Row],[QTT]]&lt;&gt;0,"ThéCol - Thé Froid Artisanal"," ")</f>
        <v xml:space="preserve"> </v>
      </c>
      <c r="C30" s="16" t="s">
        <v>91</v>
      </c>
      <c r="D30" s="15" t="s">
        <v>15</v>
      </c>
    </row>
    <row r="31" spans="1:4" hidden="1">
      <c r="A31" s="27">
        <v>0</v>
      </c>
      <c r="B31" s="10" t="str">
        <f>IF(Tableau1[[#This Row],[QTT]]&lt;&gt;0,"ThéCol - Thé Froid Artisanal"," ")</f>
        <v xml:space="preserve"> </v>
      </c>
      <c r="C31" s="16" t="s">
        <v>91</v>
      </c>
      <c r="D31" s="15" t="s">
        <v>16</v>
      </c>
    </row>
    <row r="32" spans="1:4">
      <c r="A32" s="27">
        <v>24</v>
      </c>
      <c r="B32" s="10" t="str">
        <f>IF(Tableau1[[#This Row],[QTT]]&lt;&gt;0,"ThéCol - Thé Froid Artisanal"," ")</f>
        <v>ThéCol - Thé Froid Artisanal</v>
      </c>
      <c r="C32" s="16" t="s">
        <v>91</v>
      </c>
      <c r="D32" s="15" t="s">
        <v>17</v>
      </c>
    </row>
    <row r="33" spans="1:5" hidden="1">
      <c r="A33" s="27">
        <v>0</v>
      </c>
      <c r="B33" s="39" t="str">
        <f>IF(Tableau1[[#This Row],[QTT]]&lt;&gt;0,"ThéCol - Thé Froid Artisanal"," ")</f>
        <v xml:space="preserve"> </v>
      </c>
      <c r="C33" s="16" t="s">
        <v>203</v>
      </c>
      <c r="D33" s="15" t="s">
        <v>15</v>
      </c>
    </row>
    <row r="34" spans="1:5" hidden="1">
      <c r="A34" s="27">
        <v>0</v>
      </c>
      <c r="B34" s="39" t="str">
        <f>IF(Tableau1[[#This Row],[QTT]]&lt;&gt;0,"ThéCol - Thé Froid Artisanal"," ")</f>
        <v xml:space="preserve"> </v>
      </c>
      <c r="C34" s="16" t="s">
        <v>203</v>
      </c>
      <c r="D34" s="15" t="s">
        <v>16</v>
      </c>
    </row>
    <row r="35" spans="1:5">
      <c r="A35" s="27">
        <v>12</v>
      </c>
      <c r="B35" s="39" t="str">
        <f>IF(Tableau1[[#This Row],[QTT]]&lt;&gt;0,"ThéCol - Thé Froid Artisanal"," ")</f>
        <v>ThéCol - Thé Froid Artisanal</v>
      </c>
      <c r="C35" s="16" t="s">
        <v>203</v>
      </c>
      <c r="D35" s="15" t="s">
        <v>17</v>
      </c>
    </row>
    <row r="36" spans="1:5" hidden="1">
      <c r="A36" s="27">
        <v>0</v>
      </c>
      <c r="B36" s="10" t="str">
        <f>IF(Tableau1[[#This Row],[QTT]]&lt;&gt;0,"ThéCol - Thé Froid Artisanal"," ")</f>
        <v xml:space="preserve"> </v>
      </c>
      <c r="C36" s="16" t="s">
        <v>13</v>
      </c>
      <c r="D36" s="14" t="s">
        <v>15</v>
      </c>
    </row>
    <row r="37" spans="1:5" hidden="1">
      <c r="A37" s="27">
        <v>0</v>
      </c>
      <c r="B37" s="10" t="str">
        <f>IF(Tableau1[[#This Row],[QTT]]&lt;&gt;0,"ThéCol - Thé Froid Artisanal"," ")</f>
        <v xml:space="preserve"> </v>
      </c>
      <c r="C37" s="17" t="s">
        <v>13</v>
      </c>
      <c r="D37" s="14" t="s">
        <v>16</v>
      </c>
    </row>
    <row r="38" spans="1:5" hidden="1">
      <c r="A38" s="27">
        <v>0</v>
      </c>
      <c r="B38" s="24" t="str">
        <f>IF(Tableau1[[#This Row],[QTT]]&lt;&gt;0,"ThéCol - Thé Froid Artisanal"," ")</f>
        <v xml:space="preserve"> </v>
      </c>
      <c r="C38" s="16" t="s">
        <v>13</v>
      </c>
      <c r="D38" s="15" t="s">
        <v>17</v>
      </c>
    </row>
    <row r="39" spans="1:5" ht="14.25" customHeight="1">
      <c r="A39" s="27"/>
      <c r="B39" s="10"/>
      <c r="C39" s="13"/>
      <c r="D39" s="11"/>
    </row>
    <row r="40" spans="1:5" ht="14.25" customHeight="1">
      <c r="A40" s="30"/>
      <c r="B40" s="12"/>
      <c r="C40" s="5"/>
      <c r="D40" s="5"/>
    </row>
    <row r="41" spans="1:5" ht="2.25" hidden="1" customHeight="1">
      <c r="A41" s="27">
        <v>0</v>
      </c>
      <c r="B41" s="10" t="s">
        <v>92</v>
      </c>
      <c r="C41" s="11"/>
      <c r="D41" s="31"/>
    </row>
    <row r="42" spans="1:5" hidden="1">
      <c r="A42" s="27">
        <v>0</v>
      </c>
      <c r="B42" s="10" t="s">
        <v>92</v>
      </c>
      <c r="C42" s="12"/>
      <c r="D42" s="11"/>
    </row>
    <row r="43" spans="1:5" hidden="1">
      <c r="A43" s="27">
        <v>0</v>
      </c>
      <c r="B43" s="10" t="s">
        <v>90</v>
      </c>
      <c r="C43" s="13" t="s">
        <v>95</v>
      </c>
      <c r="D43" s="11" t="s">
        <v>17</v>
      </c>
    </row>
    <row r="44" spans="1:5">
      <c r="A44" s="5"/>
      <c r="B44" s="5" t="str">
        <f>IF(Tableau1[[#This Row],[QTT]]&lt;&gt;0,"ThéCol - Thé Froid Artisanal"," ")</f>
        <v xml:space="preserve"> </v>
      </c>
      <c r="C44" s="5"/>
      <c r="D44" s="5"/>
    </row>
    <row r="45" spans="1:5" ht="14.25" customHeight="1"/>
    <row r="46" spans="1:5" ht="15" customHeight="1">
      <c r="B46" s="19"/>
      <c r="C46" s="18"/>
      <c r="D46" t="s">
        <v>204</v>
      </c>
    </row>
    <row r="47" spans="1:5" ht="15" customHeight="1" thickBot="1">
      <c r="B47" s="18"/>
      <c r="C47" s="18"/>
      <c r="D47" s="2" t="str">
        <f>IF(VLOOKUP(F7,Tableau4[],9,FALSE)="E-Mail","x"," ")</f>
        <v xml:space="preserve"> </v>
      </c>
      <c r="E47" t="s">
        <v>96</v>
      </c>
    </row>
    <row r="48" spans="1:5" ht="15" customHeight="1" thickBot="1">
      <c r="A48" s="32">
        <v>0</v>
      </c>
      <c r="B48" s="28" t="s">
        <v>79</v>
      </c>
      <c r="C48" s="18"/>
      <c r="D48" s="2" t="str">
        <f>IF(VLOOKUP(F7,Tableau4[],9,FALSE)="Envoi postal","x"," ")</f>
        <v xml:space="preserve"> </v>
      </c>
      <c r="E48" t="s">
        <v>97</v>
      </c>
    </row>
    <row r="49" spans="1:6" ht="15" customHeight="1" thickBot="1">
      <c r="A49" s="32">
        <v>3</v>
      </c>
      <c r="B49" s="28" t="s">
        <v>80</v>
      </c>
      <c r="C49" s="18"/>
      <c r="D49" s="2" t="str">
        <f>IF(VLOOKUP(F7,Tableau4[],9,FALSE)="Autre","x"," ")</f>
        <v>x</v>
      </c>
      <c r="E49" s="36" t="s">
        <v>93</v>
      </c>
    </row>
    <row r="50" spans="1:6" ht="15" customHeight="1" thickBot="1">
      <c r="A50" s="32"/>
      <c r="B50" s="28" t="s">
        <v>81</v>
      </c>
      <c r="C50" s="18"/>
      <c r="D50" s="2"/>
    </row>
    <row r="51" spans="1:6" ht="15.75" thickBot="1">
      <c r="A51" s="34"/>
      <c r="B51" s="28" t="s">
        <v>82</v>
      </c>
      <c r="C51" s="18"/>
      <c r="D51" t="s">
        <v>98</v>
      </c>
      <c r="E51" s="40" t="str">
        <f>VLOOKUP(F7,Tableau4[],10,FALSE)</f>
        <v>sur place à la livraison</v>
      </c>
      <c r="F51" s="2"/>
    </row>
    <row r="52" spans="1:6" ht="28.5" customHeight="1">
      <c r="B52" s="28"/>
      <c r="C52" s="18"/>
      <c r="E52" s="2"/>
      <c r="F52" s="2"/>
    </row>
    <row r="53" spans="1:6">
      <c r="B53" s="18"/>
      <c r="C53" s="18"/>
      <c r="E53" s="2"/>
      <c r="F53" s="2"/>
    </row>
    <row r="54" spans="1:6" ht="21">
      <c r="A54" s="6" t="str">
        <f>F7</f>
        <v>Café de la Marionnette</v>
      </c>
      <c r="B54" s="18"/>
      <c r="C54" s="18"/>
      <c r="E54" s="2"/>
      <c r="F54" s="2"/>
    </row>
    <row r="55" spans="1:6" ht="42" customHeight="1">
      <c r="E55" s="2"/>
      <c r="F55" s="2"/>
    </row>
    <row r="56" spans="1:6" ht="21">
      <c r="A56" s="6" t="s">
        <v>2</v>
      </c>
      <c r="B56" s="6"/>
      <c r="E56" s="2"/>
      <c r="F56" s="2"/>
    </row>
    <row r="57" spans="1:6" ht="51" customHeight="1">
      <c r="D57" s="38" t="e" vm="1">
        <v>#VALUE!</v>
      </c>
      <c r="E57" s="38"/>
      <c r="F57" s="38"/>
    </row>
    <row r="58" spans="1:6">
      <c r="B58" s="38"/>
      <c r="D58" s="38"/>
      <c r="E58" s="38"/>
      <c r="F58" s="38"/>
    </row>
    <row r="59" spans="1:6">
      <c r="B59" s="38"/>
      <c r="D59" s="38"/>
      <c r="E59" s="38"/>
      <c r="F59" s="38"/>
    </row>
    <row r="60" spans="1:6">
      <c r="D60" s="2"/>
    </row>
    <row r="61" spans="1:6">
      <c r="D61" s="2"/>
    </row>
  </sheetData>
  <mergeCells count="2">
    <mergeCell ref="B58:B59"/>
    <mergeCell ref="D57:F59"/>
  </mergeCells>
  <pageMargins left="1" right="1" top="1" bottom="1" header="0.5" footer="0.5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88F0296-B037-4558-8BF3-BF1788835FEC}">
          <x14:formula1>
            <xm:f>'Listes '!$E:$E</xm:f>
          </x14:formula1>
          <xm:sqref>F7</xm:sqref>
        </x14:dataValidation>
        <x14:dataValidation type="list" allowBlank="1" showInputMessage="1" showErrorMessage="1" xr:uid="{F91DE666-C1EC-46FF-BFAC-77ABE88F7950}">
          <x14:formula1>
            <xm:f>'Listes '!$A$2:$A$13</xm:f>
          </x14:formula1>
          <xm:sqref>C15:C38</xm:sqref>
        </x14:dataValidation>
        <x14:dataValidation type="list" allowBlank="1" showInputMessage="1" showErrorMessage="1" xr:uid="{B9B91086-C40D-46C4-8549-1E3A0C7DF361}">
          <x14:formula1>
            <xm:f>'Listes '!$B$2:$B$13</xm:f>
          </x14:formula1>
          <xm:sqref>D15:D38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Bulletin de livraison</vt:lpstr>
      <vt:lpstr>Listes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Bevegni</dc:creator>
  <cp:lastModifiedBy>Bevegni Noah Van Chan</cp:lastModifiedBy>
  <cp:lastPrinted>2025-10-23T16:14:53Z</cp:lastPrinted>
  <dcterms:created xsi:type="dcterms:W3CDTF">2024-04-26T14:35:05Z</dcterms:created>
  <dcterms:modified xsi:type="dcterms:W3CDTF">2025-10-23T16:16:26Z</dcterms:modified>
</cp:coreProperties>
</file>